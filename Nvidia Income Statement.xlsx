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MLS\Documents\"/>
    </mc:Choice>
  </mc:AlternateContent>
  <xr:revisionPtr revIDLastSave="0" documentId="8_{05D5DA91-5821-4674-93D2-8EA6089C3CF4}" xr6:coauthVersionLast="47" xr6:coauthVersionMax="47" xr10:uidLastSave="{00000000-0000-0000-0000-000000000000}"/>
  <bookViews>
    <workbookView xWindow="7920" yWindow="0" windowWidth="24150" windowHeight="15600" xr2:uid="{F4FB4D41-B20D-4BBF-A249-EDC8D85CD0E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31" i="1" l="1"/>
  <c r="E31" i="1"/>
  <c r="G28" i="1"/>
  <c r="E28" i="1"/>
  <c r="G25" i="1"/>
  <c r="E25" i="1"/>
  <c r="G20" i="1"/>
  <c r="E20" i="1"/>
  <c r="G18" i="1"/>
  <c r="E18" i="1"/>
  <c r="G11" i="1"/>
  <c r="E11" i="1"/>
</calcChain>
</file>

<file path=xl/sharedStrings.xml><?xml version="1.0" encoding="utf-8"?>
<sst xmlns="http://schemas.openxmlformats.org/spreadsheetml/2006/main" count="20" uniqueCount="19">
  <si>
    <t>Consolidated Statement of Income (Q1)</t>
  </si>
  <si>
    <t>Revenue</t>
  </si>
  <si>
    <t>Cost of Goods Sold</t>
  </si>
  <si>
    <t>Gross Profit</t>
  </si>
  <si>
    <t>Operating Expense</t>
  </si>
  <si>
    <t>Interst Expense</t>
  </si>
  <si>
    <t>Interst Income</t>
  </si>
  <si>
    <t xml:space="preserve">Research and Development </t>
  </si>
  <si>
    <t>Sales , General and Administrative</t>
  </si>
  <si>
    <t>Total Operating Expense</t>
  </si>
  <si>
    <t>Operating  Income</t>
  </si>
  <si>
    <t>Other Income(exp)</t>
  </si>
  <si>
    <t>Total Other Income</t>
  </si>
  <si>
    <t xml:space="preserve">Net Income Before Income Tax </t>
  </si>
  <si>
    <t>Net Income</t>
  </si>
  <si>
    <t>Basic</t>
  </si>
  <si>
    <t>Diluted</t>
  </si>
  <si>
    <t>Net Income Pershare</t>
  </si>
  <si>
    <r>
      <t xml:space="preserve"> </t>
    </r>
    <r>
      <rPr>
        <b/>
        <sz val="28"/>
        <color theme="1"/>
        <rFont val="72 Monospace"/>
        <family val="3"/>
      </rPr>
      <t>Nvidia Corporation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</si>
</sst>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4" formatCode="_-&quot;£&quot;* #,##0.00_-;\-&quot;£&quot;* #,##0.00_-;_-&quot;£&quot;* &quot;-&quot;??_-;_-@_-"/>
    <numFmt numFmtId="164" formatCode="_-[$$-409]* #,##0.00_ ;_-[$$-409]* \-#,##0.00\ ;_-[$$-409]* &quot;-&quot;??_ ;_-@_ "/>
    <numFmt numFmtId="168" formatCode="_-[$$-409]* #,##0_ ;_-[$$-409]* \-#,##0\ ;_-[$$-409]* &quot;-&quot;??_ ;_-@_ "/>
  </numFmts>
  <fonts count="1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28"/>
      <color theme="1"/>
      <name val="72 Monospace"/>
      <family val="3"/>
    </font>
    <font>
      <b/>
      <sz val="11"/>
      <color theme="1"/>
      <name val="72 Monospace"/>
      <family val="3"/>
    </font>
    <font>
      <b/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28"/>
      <color theme="1"/>
      <name val="72 Monospace"/>
      <family val="3"/>
    </font>
  </fonts>
  <fills count="2">
    <fill>
      <patternFill patternType="none"/>
    </fill>
    <fill>
      <patternFill patternType="gray125"/>
    </fill>
  </fills>
  <borders count="15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double">
        <color indexed="64"/>
      </bottom>
      <diagonal/>
    </border>
    <border>
      <left/>
      <right/>
      <top style="medium">
        <color indexed="64"/>
      </top>
      <bottom style="double">
        <color indexed="64"/>
      </bottom>
      <diagonal/>
    </border>
    <border>
      <left/>
      <right style="medium">
        <color indexed="64"/>
      </right>
      <top style="medium">
        <color indexed="64"/>
      </top>
      <bottom style="double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45">
    <xf numFmtId="0" fontId="0" fillId="0" borderId="0" xfId="0"/>
    <xf numFmtId="0" fontId="0" fillId="0" borderId="0" xfId="0" applyBorder="1" applyAlignment="1">
      <alignment horizontal="center"/>
    </xf>
    <xf numFmtId="0" fontId="0" fillId="0" borderId="0" xfId="0" applyBorder="1"/>
    <xf numFmtId="0" fontId="4" fillId="0" borderId="2" xfId="0" applyFont="1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1" xfId="0" applyBorder="1"/>
    <xf numFmtId="0" fontId="0" fillId="0" borderId="8" xfId="0" applyBorder="1"/>
    <xf numFmtId="0" fontId="5" fillId="0" borderId="9" xfId="0" applyFont="1" applyBorder="1" applyAlignment="1">
      <alignment horizontal="center"/>
    </xf>
    <xf numFmtId="0" fontId="2" fillId="0" borderId="10" xfId="0" applyFont="1" applyBorder="1" applyAlignment="1">
      <alignment horizontal="center"/>
    </xf>
    <xf numFmtId="0" fontId="2" fillId="0" borderId="11" xfId="0" applyFont="1" applyBorder="1" applyAlignment="1">
      <alignment horizontal="center"/>
    </xf>
    <xf numFmtId="0" fontId="0" fillId="0" borderId="3" xfId="0" applyBorder="1"/>
    <xf numFmtId="0" fontId="0" fillId="0" borderId="4" xfId="0" applyBorder="1"/>
    <xf numFmtId="0" fontId="3" fillId="0" borderId="3" xfId="0" applyFont="1" applyBorder="1"/>
    <xf numFmtId="0" fontId="6" fillId="0" borderId="0" xfId="0" applyFont="1" applyBorder="1"/>
    <xf numFmtId="0" fontId="6" fillId="0" borderId="3" xfId="0" applyFont="1" applyBorder="1"/>
    <xf numFmtId="0" fontId="7" fillId="0" borderId="5" xfId="0" applyFont="1" applyBorder="1"/>
    <xf numFmtId="164" fontId="6" fillId="0" borderId="0" xfId="0" applyNumberFormat="1" applyFont="1" applyBorder="1"/>
    <xf numFmtId="168" fontId="6" fillId="0" borderId="0" xfId="0" applyNumberFormat="1" applyFont="1" applyBorder="1"/>
    <xf numFmtId="168" fontId="6" fillId="0" borderId="1" xfId="0" applyNumberFormat="1" applyFont="1" applyBorder="1"/>
    <xf numFmtId="168" fontId="6" fillId="0" borderId="3" xfId="0" applyNumberFormat="1" applyFont="1" applyBorder="1"/>
    <xf numFmtId="0" fontId="8" fillId="0" borderId="5" xfId="0" applyFont="1" applyBorder="1"/>
    <xf numFmtId="0" fontId="8" fillId="0" borderId="7" xfId="0" applyFont="1" applyBorder="1"/>
    <xf numFmtId="0" fontId="6" fillId="0" borderId="5" xfId="0" applyFont="1" applyBorder="1"/>
    <xf numFmtId="0" fontId="8" fillId="0" borderId="2" xfId="0" applyFont="1" applyBorder="1"/>
    <xf numFmtId="168" fontId="6" fillId="0" borderId="2" xfId="0" applyNumberFormat="1" applyFont="1" applyBorder="1"/>
    <xf numFmtId="168" fontId="6" fillId="0" borderId="7" xfId="0" applyNumberFormat="1" applyFont="1" applyBorder="1"/>
    <xf numFmtId="168" fontId="6" fillId="0" borderId="0" xfId="1" applyNumberFormat="1" applyFont="1" applyBorder="1"/>
    <xf numFmtId="168" fontId="6" fillId="0" borderId="9" xfId="0" applyNumberFormat="1" applyFont="1" applyBorder="1"/>
    <xf numFmtId="0" fontId="6" fillId="0" borderId="10" xfId="0" applyFont="1" applyBorder="1"/>
    <xf numFmtId="0" fontId="0" fillId="0" borderId="11" xfId="0" applyBorder="1"/>
    <xf numFmtId="168" fontId="6" fillId="0" borderId="10" xfId="0" applyNumberFormat="1" applyFont="1" applyBorder="1"/>
    <xf numFmtId="0" fontId="6" fillId="0" borderId="11" xfId="0" applyFont="1" applyBorder="1"/>
    <xf numFmtId="0" fontId="8" fillId="0" borderId="3" xfId="0" applyFont="1" applyBorder="1"/>
    <xf numFmtId="0" fontId="8" fillId="0" borderId="12" xfId="0" applyFont="1" applyBorder="1"/>
    <xf numFmtId="0" fontId="0" fillId="0" borderId="13" xfId="0" applyBorder="1"/>
    <xf numFmtId="168" fontId="6" fillId="0" borderId="13" xfId="0" applyNumberFormat="1" applyFont="1" applyBorder="1"/>
    <xf numFmtId="0" fontId="6" fillId="0" borderId="13" xfId="0" applyFont="1" applyBorder="1"/>
    <xf numFmtId="0" fontId="0" fillId="0" borderId="14" xfId="0" applyBorder="1"/>
    <xf numFmtId="0" fontId="2" fillId="0" borderId="0" xfId="0" applyFont="1"/>
  </cellXfs>
  <cellStyles count="2">
    <cellStyle name="Currency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142875</xdr:colOff>
      <xdr:row>0</xdr:row>
      <xdr:rowOff>0</xdr:rowOff>
    </xdr:from>
    <xdr:to>
      <xdr:col>4</xdr:col>
      <xdr:colOff>441127</xdr:colOff>
      <xdr:row>2</xdr:row>
      <xdr:rowOff>66675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B7FFEEDE-5650-AFF2-7429-627AFCD6510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971675" y="0"/>
          <a:ext cx="907852" cy="71437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73E70E-4399-44BA-A306-F6F8378D0341}">
  <dimension ref="A1:I37"/>
  <sheetViews>
    <sheetView showGridLines="0" tabSelected="1" zoomScale="80" zoomScaleNormal="80" workbookViewId="0">
      <selection sqref="A1:H4"/>
    </sheetView>
  </sheetViews>
  <sheetFormatPr defaultRowHeight="15" x14ac:dyDescent="0.25"/>
  <cols>
    <col min="5" max="5" width="15" bestFit="1" customWidth="1"/>
    <col min="7" max="7" width="15" bestFit="1" customWidth="1"/>
  </cols>
  <sheetData>
    <row r="1" spans="1:9" ht="36" customHeight="1" x14ac:dyDescent="0.25">
      <c r="A1" s="3" t="s">
        <v>18</v>
      </c>
      <c r="B1" s="4"/>
      <c r="C1" s="4"/>
      <c r="D1" s="4"/>
      <c r="E1" s="4"/>
      <c r="F1" s="4"/>
      <c r="G1" s="4"/>
      <c r="H1" s="5"/>
    </row>
    <row r="2" spans="1:9" x14ac:dyDescent="0.25">
      <c r="A2" s="6"/>
      <c r="B2" s="1"/>
      <c r="C2" s="1"/>
      <c r="D2" s="1"/>
      <c r="E2" s="1"/>
      <c r="F2" s="1"/>
      <c r="G2" s="1"/>
      <c r="H2" s="7"/>
    </row>
    <row r="3" spans="1:9" x14ac:dyDescent="0.25">
      <c r="A3" s="6"/>
      <c r="B3" s="1"/>
      <c r="C3" s="1"/>
      <c r="D3" s="1"/>
      <c r="E3" s="1"/>
      <c r="F3" s="1"/>
      <c r="G3" s="1"/>
      <c r="H3" s="7"/>
    </row>
    <row r="4" spans="1:9" ht="15.75" thickBot="1" x14ac:dyDescent="0.3">
      <c r="A4" s="6"/>
      <c r="B4" s="1"/>
      <c r="C4" s="1"/>
      <c r="D4" s="1"/>
      <c r="E4" s="1"/>
      <c r="F4" s="1"/>
      <c r="G4" s="1"/>
      <c r="H4" s="7"/>
      <c r="I4" s="44"/>
    </row>
    <row r="5" spans="1:9" ht="15.75" thickBot="1" x14ac:dyDescent="0.3">
      <c r="A5" s="13" t="s">
        <v>0</v>
      </c>
      <c r="B5" s="14"/>
      <c r="C5" s="14"/>
      <c r="D5" s="14"/>
      <c r="E5" s="14"/>
      <c r="F5" s="14"/>
      <c r="G5" s="14"/>
      <c r="H5" s="15"/>
    </row>
    <row r="6" spans="1:9" x14ac:dyDescent="0.25">
      <c r="A6" s="8"/>
      <c r="B6" s="2"/>
      <c r="C6" s="2"/>
      <c r="D6" s="2"/>
      <c r="E6" s="2"/>
      <c r="F6" s="2"/>
      <c r="G6" s="2"/>
      <c r="H6" s="9"/>
    </row>
    <row r="7" spans="1:9" ht="21" x14ac:dyDescent="0.35">
      <c r="A7" s="26" t="s">
        <v>1</v>
      </c>
      <c r="B7" s="2"/>
      <c r="C7" s="2"/>
      <c r="D7" s="2"/>
      <c r="E7" s="23">
        <v>44062</v>
      </c>
      <c r="F7" s="23"/>
      <c r="G7" s="23">
        <v>26044</v>
      </c>
      <c r="H7" s="9"/>
    </row>
    <row r="8" spans="1:9" ht="21" x14ac:dyDescent="0.35">
      <c r="A8" s="26"/>
      <c r="B8" s="2"/>
      <c r="C8" s="2"/>
      <c r="D8" s="2"/>
      <c r="E8" s="23"/>
      <c r="F8" s="23"/>
      <c r="G8" s="23"/>
      <c r="H8" s="9"/>
    </row>
    <row r="9" spans="1:9" ht="21.75" thickBot="1" x14ac:dyDescent="0.4">
      <c r="A9" s="27" t="s">
        <v>2</v>
      </c>
      <c r="B9" s="11"/>
      <c r="C9" s="11"/>
      <c r="D9" s="2"/>
      <c r="E9" s="24">
        <v>17394</v>
      </c>
      <c r="F9" s="24"/>
      <c r="G9" s="24">
        <v>5638</v>
      </c>
      <c r="H9" s="12"/>
    </row>
    <row r="10" spans="1:9" ht="21" x14ac:dyDescent="0.35">
      <c r="A10" s="26"/>
      <c r="B10" s="2"/>
      <c r="C10" s="2"/>
      <c r="D10" s="17"/>
      <c r="E10" s="30"/>
      <c r="F10" s="25"/>
      <c r="G10" s="25"/>
      <c r="H10" s="17"/>
    </row>
    <row r="11" spans="1:9" ht="21.75" thickBot="1" x14ac:dyDescent="0.4">
      <c r="A11" s="26" t="s">
        <v>3</v>
      </c>
      <c r="B11" s="2"/>
      <c r="C11" s="2"/>
      <c r="D11" s="2"/>
      <c r="E11" s="31">
        <f>E7-E9</f>
        <v>26668</v>
      </c>
      <c r="F11" s="24"/>
      <c r="G11" s="24">
        <f>G7-G9</f>
        <v>20406</v>
      </c>
      <c r="H11" s="12"/>
    </row>
    <row r="12" spans="1:9" x14ac:dyDescent="0.25">
      <c r="A12" s="8"/>
      <c r="B12" s="2"/>
      <c r="C12" s="2"/>
      <c r="D12" s="2"/>
      <c r="E12" s="2"/>
      <c r="F12" s="2"/>
      <c r="G12" s="2"/>
      <c r="H12" s="9"/>
    </row>
    <row r="13" spans="1:9" x14ac:dyDescent="0.25">
      <c r="A13" s="8"/>
      <c r="B13" s="2"/>
      <c r="C13" s="2"/>
      <c r="D13" s="2"/>
      <c r="E13" s="2"/>
      <c r="F13" s="2"/>
      <c r="G13" s="2"/>
      <c r="H13" s="9"/>
    </row>
    <row r="14" spans="1:9" ht="21" x14ac:dyDescent="0.35">
      <c r="A14" s="26" t="s">
        <v>4</v>
      </c>
      <c r="B14" s="2"/>
      <c r="C14" s="2"/>
      <c r="D14" s="2"/>
      <c r="E14" s="2"/>
      <c r="F14" s="2"/>
      <c r="G14" s="2"/>
      <c r="H14" s="9"/>
    </row>
    <row r="15" spans="1:9" ht="18.75" x14ac:dyDescent="0.3">
      <c r="A15" s="21" t="s">
        <v>7</v>
      </c>
      <c r="B15" s="2"/>
      <c r="C15" s="2"/>
      <c r="D15" s="2"/>
      <c r="E15" s="32">
        <v>3989</v>
      </c>
      <c r="F15" s="32"/>
      <c r="G15" s="32">
        <v>2720</v>
      </c>
      <c r="H15" s="9"/>
    </row>
    <row r="16" spans="1:9" ht="18.75" x14ac:dyDescent="0.3">
      <c r="A16" s="21" t="s">
        <v>8</v>
      </c>
      <c r="B16" s="2"/>
      <c r="C16" s="2"/>
      <c r="D16" s="2"/>
      <c r="E16" s="32">
        <v>1041</v>
      </c>
      <c r="F16" s="32"/>
      <c r="G16" s="32">
        <v>777</v>
      </c>
      <c r="H16" s="9"/>
    </row>
    <row r="17" spans="1:8" ht="15.75" thickBot="1" x14ac:dyDescent="0.3">
      <c r="A17" s="8"/>
      <c r="B17" s="2"/>
      <c r="C17" s="2"/>
      <c r="D17" s="2"/>
      <c r="E17" s="2"/>
      <c r="F17" s="2"/>
      <c r="G17" s="2"/>
      <c r="H17" s="9"/>
    </row>
    <row r="18" spans="1:8" ht="21.75" thickBot="1" x14ac:dyDescent="0.4">
      <c r="A18" s="29" t="s">
        <v>9</v>
      </c>
      <c r="B18" s="16"/>
      <c r="C18" s="16"/>
      <c r="D18" s="16"/>
      <c r="E18" s="33">
        <f>SUM(E15:E16)</f>
        <v>5030</v>
      </c>
      <c r="F18" s="34"/>
      <c r="G18" s="36">
        <f>SUM(G15:G16)</f>
        <v>3497</v>
      </c>
      <c r="H18" s="35"/>
    </row>
    <row r="19" spans="1:8" ht="15.75" thickBot="1" x14ac:dyDescent="0.3">
      <c r="A19" s="8"/>
      <c r="B19" s="2"/>
      <c r="C19" s="2"/>
      <c r="D19" s="2"/>
      <c r="E19" s="2"/>
      <c r="F19" s="2"/>
      <c r="G19" s="2"/>
      <c r="H19" s="9"/>
    </row>
    <row r="20" spans="1:8" ht="21" x14ac:dyDescent="0.35">
      <c r="A20" s="38" t="s">
        <v>10</v>
      </c>
      <c r="B20" s="16"/>
      <c r="C20" s="16"/>
      <c r="D20" s="16"/>
      <c r="E20" s="25">
        <f>E11-E18</f>
        <v>21638</v>
      </c>
      <c r="F20" s="18"/>
      <c r="G20" s="25">
        <f>G11-G18</f>
        <v>16909</v>
      </c>
      <c r="H20" s="17"/>
    </row>
    <row r="21" spans="1:8" ht="18.75" x14ac:dyDescent="0.3">
      <c r="A21" s="21" t="s">
        <v>6</v>
      </c>
      <c r="B21" s="2"/>
      <c r="C21" s="2"/>
      <c r="D21" s="2"/>
      <c r="E21" s="23">
        <v>515</v>
      </c>
      <c r="F21" s="23"/>
      <c r="G21" s="23">
        <v>359</v>
      </c>
      <c r="H21" s="9"/>
    </row>
    <row r="22" spans="1:8" ht="18.75" x14ac:dyDescent="0.3">
      <c r="A22" s="21" t="s">
        <v>5</v>
      </c>
      <c r="B22" s="2"/>
      <c r="C22" s="2"/>
      <c r="D22" s="2"/>
      <c r="E22" s="23">
        <v>-63</v>
      </c>
      <c r="F22" s="23"/>
      <c r="G22" s="23">
        <v>-64</v>
      </c>
      <c r="H22" s="9"/>
    </row>
    <row r="23" spans="1:8" ht="18.75" x14ac:dyDescent="0.3">
      <c r="A23" s="21" t="s">
        <v>11</v>
      </c>
      <c r="B23" s="2"/>
      <c r="C23" s="2"/>
      <c r="D23" s="2"/>
      <c r="E23" s="23">
        <v>-180</v>
      </c>
      <c r="F23" s="23"/>
      <c r="G23" s="23">
        <v>75</v>
      </c>
      <c r="H23" s="9"/>
    </row>
    <row r="24" spans="1:8" ht="15.75" thickBot="1" x14ac:dyDescent="0.3">
      <c r="A24" s="8"/>
      <c r="B24" s="2"/>
      <c r="C24" s="2"/>
      <c r="D24" s="2"/>
      <c r="E24" s="2"/>
      <c r="F24" s="2"/>
      <c r="G24" s="2"/>
      <c r="H24" s="9"/>
    </row>
    <row r="25" spans="1:8" ht="21.75" thickBot="1" x14ac:dyDescent="0.4">
      <c r="A25" s="29" t="s">
        <v>12</v>
      </c>
      <c r="B25" s="16"/>
      <c r="C25" s="16"/>
      <c r="D25" s="16"/>
      <c r="E25" s="33">
        <f>SUM(E21:E23)</f>
        <v>272</v>
      </c>
      <c r="F25" s="34"/>
      <c r="G25" s="36">
        <f>SUM(G21:G23)</f>
        <v>370</v>
      </c>
      <c r="H25" s="37"/>
    </row>
    <row r="26" spans="1:8" x14ac:dyDescent="0.25">
      <c r="A26" s="8"/>
      <c r="B26" s="2"/>
      <c r="C26" s="2"/>
      <c r="D26" s="2"/>
      <c r="E26" s="2"/>
      <c r="F26" s="2"/>
      <c r="G26" s="2"/>
      <c r="H26" s="9"/>
    </row>
    <row r="27" spans="1:8" ht="15.75" thickBot="1" x14ac:dyDescent="0.3">
      <c r="A27" s="8"/>
      <c r="B27" s="2"/>
      <c r="C27" s="2"/>
      <c r="D27" s="2"/>
      <c r="E27" s="2"/>
      <c r="F27" s="2"/>
      <c r="G27" s="2"/>
      <c r="H27" s="9"/>
    </row>
    <row r="28" spans="1:8" ht="21" x14ac:dyDescent="0.35">
      <c r="A28" s="38" t="s">
        <v>13</v>
      </c>
      <c r="B28" s="16"/>
      <c r="C28" s="16"/>
      <c r="D28" s="16"/>
      <c r="E28" s="25">
        <f>E25+E20</f>
        <v>21910</v>
      </c>
      <c r="F28" s="20"/>
      <c r="G28" s="25">
        <f>G25+G20</f>
        <v>17279</v>
      </c>
      <c r="H28" s="17"/>
    </row>
    <row r="29" spans="1:8" ht="18.75" x14ac:dyDescent="0.3">
      <c r="A29" s="21" t="s">
        <v>6</v>
      </c>
      <c r="B29" s="2"/>
      <c r="C29" s="2"/>
      <c r="D29" s="2"/>
      <c r="E29" s="23">
        <v>3135</v>
      </c>
      <c r="F29" s="2"/>
      <c r="G29" s="23">
        <v>2398</v>
      </c>
      <c r="H29" s="9"/>
    </row>
    <row r="30" spans="1:8" ht="15.75" thickBot="1" x14ac:dyDescent="0.3">
      <c r="A30" s="8"/>
      <c r="B30" s="2"/>
      <c r="C30" s="2"/>
      <c r="D30" s="2"/>
      <c r="E30" s="2"/>
      <c r="F30" s="2"/>
      <c r="G30" s="2"/>
      <c r="H30" s="9"/>
    </row>
    <row r="31" spans="1:8" ht="21.75" thickBot="1" x14ac:dyDescent="0.4">
      <c r="A31" s="39" t="s">
        <v>14</v>
      </c>
      <c r="B31" s="40"/>
      <c r="C31" s="40"/>
      <c r="D31" s="40"/>
      <c r="E31" s="41">
        <f>E28-E29</f>
        <v>18775</v>
      </c>
      <c r="F31" s="42"/>
      <c r="G31" s="41">
        <f>G28-G29</f>
        <v>14881</v>
      </c>
      <c r="H31" s="43"/>
    </row>
    <row r="32" spans="1:8" ht="15.75" thickTop="1" x14ac:dyDescent="0.25">
      <c r="A32" s="8"/>
      <c r="B32" s="2"/>
      <c r="C32" s="2"/>
      <c r="D32" s="2"/>
      <c r="E32" s="2"/>
      <c r="F32" s="2"/>
      <c r="G32" s="2"/>
      <c r="H32" s="9"/>
    </row>
    <row r="33" spans="1:8" ht="18.75" x14ac:dyDescent="0.3">
      <c r="A33" s="21" t="s">
        <v>17</v>
      </c>
      <c r="B33" s="2"/>
      <c r="C33" s="2"/>
      <c r="D33" s="2"/>
      <c r="E33" s="2"/>
      <c r="F33" s="2"/>
      <c r="G33" s="2"/>
      <c r="H33" s="9"/>
    </row>
    <row r="34" spans="1:8" ht="15.75" x14ac:dyDescent="0.25">
      <c r="A34" s="28" t="s">
        <v>15</v>
      </c>
      <c r="B34" s="19"/>
      <c r="C34" s="19"/>
      <c r="D34" s="19"/>
      <c r="E34" s="22">
        <v>0.76</v>
      </c>
      <c r="F34" s="19"/>
      <c r="G34" s="22">
        <v>0.6</v>
      </c>
      <c r="H34" s="9"/>
    </row>
    <row r="35" spans="1:8" ht="15.75" x14ac:dyDescent="0.25">
      <c r="A35" s="28" t="s">
        <v>16</v>
      </c>
      <c r="B35" s="19"/>
      <c r="C35" s="19"/>
      <c r="D35" s="19"/>
      <c r="E35" s="22">
        <v>0.76</v>
      </c>
      <c r="F35" s="19"/>
      <c r="G35" s="22">
        <v>0.6</v>
      </c>
      <c r="H35" s="9"/>
    </row>
    <row r="36" spans="1:8" x14ac:dyDescent="0.25">
      <c r="A36" s="8"/>
      <c r="B36" s="2"/>
      <c r="C36" s="2"/>
      <c r="D36" s="2"/>
      <c r="E36" s="2"/>
      <c r="F36" s="2"/>
      <c r="G36" s="2"/>
      <c r="H36" s="9"/>
    </row>
    <row r="37" spans="1:8" ht="15.75" thickBot="1" x14ac:dyDescent="0.3">
      <c r="A37" s="10"/>
      <c r="B37" s="11"/>
      <c r="C37" s="11"/>
      <c r="D37" s="11"/>
      <c r="E37" s="11"/>
      <c r="F37" s="11"/>
      <c r="G37" s="11"/>
      <c r="H37" s="12"/>
    </row>
  </sheetData>
  <mergeCells count="2">
    <mergeCell ref="A1:H4"/>
    <mergeCell ref="A5:H5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Awais Ali</dc:creator>
  <cp:lastModifiedBy>Awais Ali</cp:lastModifiedBy>
  <dcterms:created xsi:type="dcterms:W3CDTF">2026-04-26T11:57:05Z</dcterms:created>
  <dcterms:modified xsi:type="dcterms:W3CDTF">2026-04-26T12:29:33Z</dcterms:modified>
</cp:coreProperties>
</file>